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olesalebodyjewellery-my.sharepoint.com/personal/joel_p_wbj_team/Documents/Joel/Ad hoc files/"/>
    </mc:Choice>
  </mc:AlternateContent>
  <xr:revisionPtr revIDLastSave="478" documentId="13_ncr:1_{8F8A5AFF-3241-436D-9B00-FF28D2B9DD41}" xr6:coauthVersionLast="47" xr6:coauthVersionMax="47" xr10:uidLastSave="{F63EC959-BE63-4813-B604-ADDC534A5A9C}"/>
  <bookViews>
    <workbookView xWindow="-120" yWindow="-120" windowWidth="29040" windowHeight="15720" xr2:uid="{D55679C4-1F58-4DF7-88D2-A83F13B3256C}"/>
  </bookViews>
  <sheets>
    <sheet name="Sheet2" sheetId="2" r:id="rId1"/>
  </sheets>
  <definedNames>
    <definedName name="solver_adj" localSheetId="0" hidden="1">Sheet2!$J$28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Sheet2!$J$28</definedName>
    <definedName name="solver_lhs2" localSheetId="0" hidden="1">Sheet2!$J$28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Sheet2!$L$28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12</definedName>
    <definedName name="solver_rhs2" localSheetId="0" hidden="1">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2" l="1"/>
  <c r="L28" i="2" s="1"/>
  <c r="J24" i="2" a="1"/>
  <c r="J24" i="2" s="1"/>
  <c r="G43" i="2"/>
  <c r="D43" i="2"/>
  <c r="G42" i="2"/>
  <c r="D42" i="2"/>
  <c r="G41" i="2"/>
  <c r="D41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D30" i="2"/>
  <c r="G29" i="2"/>
  <c r="D29" i="2"/>
  <c r="G28" i="2"/>
  <c r="D28" i="2"/>
  <c r="G27" i="2"/>
  <c r="D27" i="2"/>
  <c r="G26" i="2"/>
  <c r="D26" i="2"/>
  <c r="G25" i="2"/>
  <c r="D25" i="2"/>
  <c r="G24" i="2"/>
  <c r="D24" i="2"/>
  <c r="G23" i="2"/>
  <c r="D23" i="2"/>
  <c r="G22" i="2"/>
  <c r="D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G4" i="2"/>
  <c r="D4" i="2"/>
  <c r="G3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<sst xmlns="http://schemas.openxmlformats.org/spreadsheetml/2006/main" count="34" uniqueCount="28">
  <si>
    <t>Date</t>
  </si>
  <si>
    <t>Selling Price Per Unit</t>
  </si>
  <si>
    <t>Cost Per Unit</t>
  </si>
  <si>
    <t>Qty Sold</t>
  </si>
  <si>
    <t>Profit</t>
  </si>
  <si>
    <t>Intercept</t>
  </si>
  <si>
    <t>Selling price</t>
  </si>
  <si>
    <t>Price squared</t>
  </si>
  <si>
    <t>Predicted Quantity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</si>
  <si>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</si>
  <si>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</si>
  <si>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</si>
  <si>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</si>
  <si>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</si>
  <si>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</si>
  <si>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</si>
  <si>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</si>
  <si>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</si>
  <si>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</si>
  <si>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</si>
  <si>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</si>
  <si>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</si>
  <si>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Coefficients</t>
  </si>
  <si>
    <t>P-value</t>
  </si>
  <si>
    <t>Price 
co-ef</t>
  </si>
  <si>
    <t>***statistically significant</t>
  </si>
  <si>
    <t>Generated Equation (y = -72.949x2 + 1475.4x - 7318.2)</t>
  </si>
  <si>
    <t>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</si>
</sst>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1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1" fillId="0" borderId="1" xfId="0" applyFont="1" applyBorder="1"/>
    <xf numFmtId="0" fontId="0" fillId="4" borderId="1" xfId="0" applyFill="1" applyBorder="1" applyAlignment="1">
      <alignment horizontal="left" vertical="top"/>
    </xf>
    <xf numFmtId="8" fontId="0" fillId="3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Profit 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22225">
                <a:solidFill>
                  <a:schemeClr val="accent4"/>
                </a:solidFill>
              </a:ln>
              <a:effectLst/>
            </c:spPr>
          </c:marker>
          <c:trendline>
            <c:spPr>
              <a:ln w="15875" cap="rnd">
                <a:solidFill>
                  <a:schemeClr val="tx1"/>
                </a:solidFill>
                <a:prstDash val="dash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Sheet2!$C$3:$C$43</c:f>
              <c:numCache>
                <c:formatCode>"£"#,##0.00_);[Red]\("£"#,##0.00\)</c:formatCode>
                <c:ptCount val="41"/>
                <c:pt idx="0">
                  <c:v>9.6999999999999993</c:v>
                </c:pt>
                <c:pt idx="1">
                  <c:v>9.9</c:v>
                </c:pt>
                <c:pt idx="2">
                  <c:v>9.32</c:v>
                </c:pt>
                <c:pt idx="3">
                  <c:v>9.2899999999999991</c:v>
                </c:pt>
                <c:pt idx="4">
                  <c:v>9.67</c:v>
                </c:pt>
                <c:pt idx="5">
                  <c:v>9.3000000000000007</c:v>
                </c:pt>
                <c:pt idx="6">
                  <c:v>9.39</c:v>
                </c:pt>
                <c:pt idx="7">
                  <c:v>9.39</c:v>
                </c:pt>
                <c:pt idx="8">
                  <c:v>9.61</c:v>
                </c:pt>
                <c:pt idx="9">
                  <c:v>10.050000000000001</c:v>
                </c:pt>
                <c:pt idx="10">
                  <c:v>9.8800000000000008</c:v>
                </c:pt>
                <c:pt idx="11">
                  <c:v>10.18</c:v>
                </c:pt>
                <c:pt idx="12">
                  <c:v>9.74</c:v>
                </c:pt>
                <c:pt idx="13">
                  <c:v>9.5500000000000007</c:v>
                </c:pt>
                <c:pt idx="14">
                  <c:v>9.44</c:v>
                </c:pt>
                <c:pt idx="15">
                  <c:v>10.35</c:v>
                </c:pt>
                <c:pt idx="16">
                  <c:v>9.7799999999999994</c:v>
                </c:pt>
                <c:pt idx="17">
                  <c:v>10.050000000000001</c:v>
                </c:pt>
                <c:pt idx="18">
                  <c:v>9.6300000000000008</c:v>
                </c:pt>
                <c:pt idx="19">
                  <c:v>9.68</c:v>
                </c:pt>
                <c:pt idx="20">
                  <c:v>9.82</c:v>
                </c:pt>
                <c:pt idx="21">
                  <c:v>9.98</c:v>
                </c:pt>
                <c:pt idx="22">
                  <c:v>9.66</c:v>
                </c:pt>
                <c:pt idx="23">
                  <c:v>9.67</c:v>
                </c:pt>
                <c:pt idx="24">
                  <c:v>9.67</c:v>
                </c:pt>
                <c:pt idx="25">
                  <c:v>9.99</c:v>
                </c:pt>
                <c:pt idx="26">
                  <c:v>9.77</c:v>
                </c:pt>
                <c:pt idx="27">
                  <c:v>9.7899999999999991</c:v>
                </c:pt>
                <c:pt idx="28">
                  <c:v>9.8800000000000008</c:v>
                </c:pt>
                <c:pt idx="29">
                  <c:v>10.26</c:v>
                </c:pt>
                <c:pt idx="30">
                  <c:v>9.5500000000000007</c:v>
                </c:pt>
                <c:pt idx="31">
                  <c:v>9.85</c:v>
                </c:pt>
                <c:pt idx="32">
                  <c:v>9.61</c:v>
                </c:pt>
                <c:pt idx="33">
                  <c:v>9.7200000000000006</c:v>
                </c:pt>
                <c:pt idx="34">
                  <c:v>9.76</c:v>
                </c:pt>
                <c:pt idx="35">
                  <c:v>9.66</c:v>
                </c:pt>
                <c:pt idx="36">
                  <c:v>9.83</c:v>
                </c:pt>
                <c:pt idx="37">
                  <c:v>9.91</c:v>
                </c:pt>
                <c:pt idx="38">
                  <c:v>11.04</c:v>
                </c:pt>
                <c:pt idx="39">
                  <c:v>10.15</c:v>
                </c:pt>
                <c:pt idx="40">
                  <c:v>9.61</c:v>
                </c:pt>
              </c:numCache>
            </c:numRef>
          </c:xVal>
          <c:yVal>
            <c:numRef>
              <c:f>Sheet2!$G$3:$G$43</c:f>
              <c:numCache>
                <c:formatCode>"£"#,##0.00_);[Red]\("£"#,##0.00\)</c:formatCode>
                <c:ptCount val="41"/>
                <c:pt idx="0">
                  <c:v>420.98</c:v>
                </c:pt>
                <c:pt idx="1">
                  <c:v>537.07500000000005</c:v>
                </c:pt>
                <c:pt idx="2">
                  <c:v>613.95500000000004</c:v>
                </c:pt>
                <c:pt idx="3">
                  <c:v>467.98374999999999</c:v>
                </c:pt>
                <c:pt idx="4">
                  <c:v>614.52850000000001</c:v>
                </c:pt>
                <c:pt idx="5">
                  <c:v>598.22250000000008</c:v>
                </c:pt>
                <c:pt idx="6">
                  <c:v>625.84350000000006</c:v>
                </c:pt>
                <c:pt idx="7">
                  <c:v>749.55675000000008</c:v>
                </c:pt>
                <c:pt idx="8">
                  <c:v>722.43174999999997</c:v>
                </c:pt>
                <c:pt idx="9">
                  <c:v>981.38250000000005</c:v>
                </c:pt>
                <c:pt idx="10">
                  <c:v>987.75300000000016</c:v>
                </c:pt>
                <c:pt idx="11">
                  <c:v>852.06600000000003</c:v>
                </c:pt>
                <c:pt idx="12">
                  <c:v>898.27150000000006</c:v>
                </c:pt>
                <c:pt idx="13">
                  <c:v>814.13750000000016</c:v>
                </c:pt>
                <c:pt idx="14">
                  <c:v>848.65599999999995</c:v>
                </c:pt>
                <c:pt idx="15">
                  <c:v>1042.7625</c:v>
                </c:pt>
                <c:pt idx="16">
                  <c:v>947.43749999999989</c:v>
                </c:pt>
                <c:pt idx="17">
                  <c:v>1316.2987500000002</c:v>
                </c:pt>
                <c:pt idx="18">
                  <c:v>880.6635</c:v>
                </c:pt>
                <c:pt idx="19">
                  <c:v>1080.288</c:v>
                </c:pt>
                <c:pt idx="20">
                  <c:v>1035.028</c:v>
                </c:pt>
                <c:pt idx="21">
                  <c:v>974.54700000000003</c:v>
                </c:pt>
                <c:pt idx="22">
                  <c:v>883.40699999999993</c:v>
                </c:pt>
                <c:pt idx="23">
                  <c:v>1214.0685000000001</c:v>
                </c:pt>
                <c:pt idx="24">
                  <c:v>1289.011</c:v>
                </c:pt>
                <c:pt idx="25">
                  <c:v>1091.65725</c:v>
                </c:pt>
                <c:pt idx="26">
                  <c:v>1014.6145</c:v>
                </c:pt>
                <c:pt idx="27">
                  <c:v>1122.9129999999998</c:v>
                </c:pt>
                <c:pt idx="28">
                  <c:v>1041.3520000000001</c:v>
                </c:pt>
                <c:pt idx="29">
                  <c:v>1176.8219999999999</c:v>
                </c:pt>
                <c:pt idx="30">
                  <c:v>1124.9900000000002</c:v>
                </c:pt>
                <c:pt idx="31">
                  <c:v>1198.49875</c:v>
                </c:pt>
                <c:pt idx="32">
                  <c:v>1213.9832499999998</c:v>
                </c:pt>
                <c:pt idx="33">
                  <c:v>1235.4120000000003</c:v>
                </c:pt>
                <c:pt idx="34">
                  <c:v>1240.4960000000001</c:v>
                </c:pt>
                <c:pt idx="35">
                  <c:v>1130.4614999999999</c:v>
                </c:pt>
                <c:pt idx="36">
                  <c:v>1028.4637499999999</c:v>
                </c:pt>
                <c:pt idx="37">
                  <c:v>1282.60175</c:v>
                </c:pt>
                <c:pt idx="38">
                  <c:v>770.04</c:v>
                </c:pt>
                <c:pt idx="39">
                  <c:v>943.95</c:v>
                </c:pt>
                <c:pt idx="40">
                  <c:v>1199.0877499999999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0-4BDC-AF26-F284A7C68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77183"/>
        <c:axId val="2118901648"/>
      </c:scatterChart>
      <c:valAx>
        <c:axId val="404877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>
                    <a:solidFill>
                      <a:schemeClr val="bg1">
                        <a:lumMod val="50000"/>
                      </a:schemeClr>
                    </a:solidFill>
                  </a:rPr>
                  <a:t>Selling Price per unit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_);[Red]\(&quot;£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901648"/>
        <c:crosses val="autoZero"/>
        <c:crossBetween val="midCat"/>
      </c:valAx>
      <c:valAx>
        <c:axId val="2118901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>
                    <a:solidFill>
                      <a:schemeClr val="bg1">
                        <a:lumMod val="50000"/>
                      </a:schemeClr>
                    </a:solidFill>
                  </a:rPr>
                  <a:t>Profit</a:t>
                </a:r>
                <a:endParaRPr lang="en-GB" b="1">
                  <a:solidFill>
                    <a:schemeClr val="bg1">
                      <a:lumMod val="50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&quot;£&quot;#,##0.00_);[Red]\(&quot;£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7718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314325</xdr:colOff>
      <xdr:row>22</xdr:row>
      <xdr:rowOff>19050</xdr:rowOff>
    </xdr:from>
    <xdr:ext cx="4895850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BAA9EB-9AFA-035C-B53A-2DC73B6E737E}"/>
            </a:ext>
          </a:extLst>
        </xdr:cNvPr>
        <xdr:cNvSpPr txBox="1"/>
      </xdr:nvSpPr>
      <xdr:spPr>
        <a:xfrm>
          <a:off x="11172825" y="4643005"/>
          <a:ext cx="489585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400"/>
            <a:t>At a selling price of </a:t>
          </a:r>
          <a:r>
            <a:rPr lang="en-GB" sz="1400" b="1"/>
            <a:t>£10.22</a:t>
          </a:r>
          <a:r>
            <a:rPr lang="en-GB" sz="1400"/>
            <a:t>, we can expect a daily demand of 140 units, which would result in an estimated profit of </a:t>
          </a:r>
          <a:r>
            <a:rPr lang="en-GB" sz="1400" b="1"/>
            <a:t>£1,224 </a:t>
          </a:r>
          <a:r>
            <a:rPr lang="en-GB" sz="1400"/>
            <a:t>per day</a:t>
          </a:r>
          <a:endParaRPr lang="en-GB" sz="1400" b="1">
            <a:solidFill>
              <a:schemeClr val="accent1"/>
            </a:solidFill>
          </a:endParaRPr>
        </a:p>
      </xdr:txBody>
    </xdr:sp>
    <xdr:clientData/>
  </xdr:oneCellAnchor>
  <xdr:twoCellAnchor>
    <xdr:from>
      <xdr:col>14</xdr:col>
      <xdr:colOff>142877</xdr:colOff>
      <xdr:row>12</xdr:row>
      <xdr:rowOff>35718</xdr:rowOff>
    </xdr:from>
    <xdr:to>
      <xdr:col>25</xdr:col>
      <xdr:colOff>583406</xdr:colOff>
      <xdr:row>37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FF7FFE-805A-596B-C3FD-221AF1842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78AA-3B62-4954-9FAF-1646CAA87F40}">
  <dimension ref="B2:M43"/>
  <sheetViews>
    <sheetView showGridLines="0" tabSelected="1" zoomScale="80" zoomScaleNormal="80" workbookViewId="0">
      <selection activeCell="AA25" sqref="AA25"/>
    </sheetView>
  </sheetViews>
  <sheetFormatPr defaultRowHeight="15" x14ac:dyDescent="0.25"/>
  <cols>
    <col min="2" max="2" width="11.28515625" bestFit="1" customWidth="1"/>
    <col min="7" max="7" width="9.85546875" bestFit="1" customWidth="1"/>
    <col min="10" max="10" width="17.5703125" bestFit="1" customWidth="1"/>
    <col min="11" max="11" width="19.85546875" customWidth="1"/>
    <col min="12" max="12" width="20" bestFit="1" customWidth="1"/>
    <col min="13" max="13" width="13.28515625" bestFit="1" customWidth="1"/>
  </cols>
  <sheetData>
    <row r="2" spans="2:13" s="2" customFormat="1" ht="48.75" customHeight="1" x14ac:dyDescent="0.25">
      <c r="B2" s="8" t="s">
        <v>0</v>
      </c>
      <c r="C2" s="8" t="s">
        <v>1</v>
      </c>
      <c r="D2" s="8" t="s">
        <v>7</v>
      </c>
      <c r="E2" s="8" t="s">
        <v>2</v>
      </c>
      <c r="F2" s="8" t="s">
        <v>3</v>
      </c>
      <c r="G2" s="8" t="s">
        <v>4</v>
      </c>
      <c r="J2" s="9" t="s">
        <v>9</v>
      </c>
      <c r="K2" s="5"/>
      <c r="L2" s="5"/>
      <c r="M2" s="5"/>
    </row>
    <row r="3" spans="2:13" x14ac:dyDescent="0.25">
      <c r="B3" s="3">
        <v>44927</v>
      </c>
      <c r="C3" s="4">
        <v>9.6999999999999993</v>
      </c>
      <c r="D3" s="4">
        <f>C3*C3</f>
        <v>94.089999999999989</v>
      </c>
      <c r="E3" s="4">
        <v>2.1824999999999997</v>
      </c>
      <c r="F3" s="1">
        <v>56</v>
      </c>
      <c r="G3" s="4">
        <f>(C3-E3)*F3</f>
        <v>420.98</v>
      </c>
      <c r="J3" s="10" t="s">
        <v>10</v>
      </c>
      <c r="K3" s="6"/>
      <c r="L3" s="5"/>
      <c r="M3" s="5"/>
    </row>
    <row r="4" spans="2:13" x14ac:dyDescent="0.25">
      <c r="B4" s="3">
        <v>44958</v>
      </c>
      <c r="C4" s="4">
        <v>9.9</v>
      </c>
      <c r="D4" s="4">
        <f t="shared" ref="D4:D43" si="0">C4*C4</f>
        <v>98.01</v>
      </c>
      <c r="E4" s="4">
        <v>2.2275</v>
      </c>
      <c r="F4" s="1">
        <v>70</v>
      </c>
      <c r="G4" s="4">
        <f t="shared" ref="G4:G43" si="1">(C4-E4)*F4</f>
        <v>537.07500000000005</v>
      </c>
      <c r="J4" s="7" t="s">
        <v>11</v>
      </c>
      <c r="K4" s="7">
        <v>0.54265645132886586</v>
      </c>
      <c r="L4" s="5"/>
      <c r="M4" s="5"/>
    </row>
    <row r="5" spans="2:13" x14ac:dyDescent="0.25">
      <c r="B5" s="3">
        <v>44986</v>
      </c>
      <c r="C5" s="4">
        <v>9.32</v>
      </c>
      <c r="D5" s="4">
        <f t="shared" si="0"/>
        <v>86.862400000000008</v>
      </c>
      <c r="E5" s="4">
        <v>2.097</v>
      </c>
      <c r="F5" s="1">
        <v>85</v>
      </c>
      <c r="G5" s="4">
        <f t="shared" si="1"/>
        <v>613.95500000000004</v>
      </c>
      <c r="J5" s="7" t="s">
        <v>12</v>
      </c>
      <c r="K5" s="7">
        <v>0.29447602416883778</v>
      </c>
      <c r="L5" s="5"/>
      <c r="M5" s="5"/>
    </row>
    <row r="6" spans="2:13" x14ac:dyDescent="0.25">
      <c r="B6" s="3">
        <v>45017</v>
      </c>
      <c r="C6" s="4">
        <v>9.2899999999999991</v>
      </c>
      <c r="D6" s="4">
        <f t="shared" si="0"/>
        <v>86.304099999999991</v>
      </c>
      <c r="E6" s="4">
        <v>2.0902499999999997</v>
      </c>
      <c r="F6" s="1">
        <v>65</v>
      </c>
      <c r="G6" s="4">
        <f t="shared" si="1"/>
        <v>467.98374999999999</v>
      </c>
      <c r="J6" s="7" t="s">
        <v>13</v>
      </c>
      <c r="K6" s="7">
        <v>0.25734318333561873</v>
      </c>
      <c r="L6" s="5"/>
      <c r="M6" s="5"/>
    </row>
    <row r="7" spans="2:13" x14ac:dyDescent="0.25">
      <c r="B7" s="3">
        <v>45047</v>
      </c>
      <c r="C7" s="4">
        <v>9.67</v>
      </c>
      <c r="D7" s="4">
        <f t="shared" si="0"/>
        <v>93.508899999999997</v>
      </c>
      <c r="E7" s="4">
        <v>2.1757499999999999</v>
      </c>
      <c r="F7" s="1">
        <v>82</v>
      </c>
      <c r="G7" s="4">
        <f t="shared" si="1"/>
        <v>614.52850000000001</v>
      </c>
      <c r="J7" s="7" t="s">
        <v>14</v>
      </c>
      <c r="K7" s="7">
        <v>227.61970669756158</v>
      </c>
      <c r="L7" s="5"/>
      <c r="M7" s="5"/>
    </row>
    <row r="8" spans="2:13" x14ac:dyDescent="0.25">
      <c r="B8" s="3">
        <v>45078</v>
      </c>
      <c r="C8" s="4">
        <v>9.3000000000000007</v>
      </c>
      <c r="D8" s="4">
        <f t="shared" si="0"/>
        <v>86.490000000000009</v>
      </c>
      <c r="E8" s="4">
        <v>2.0925000000000002</v>
      </c>
      <c r="F8" s="1">
        <v>83</v>
      </c>
      <c r="G8" s="4">
        <f t="shared" si="1"/>
        <v>598.22250000000008</v>
      </c>
      <c r="J8" s="7" t="s">
        <v>15</v>
      </c>
      <c r="K8" s="7">
        <v>41</v>
      </c>
      <c r="L8" s="5"/>
      <c r="M8" s="5"/>
    </row>
    <row r="9" spans="2:13" x14ac:dyDescent="0.25">
      <c r="B9" s="3">
        <v>45108</v>
      </c>
      <c r="C9" s="4">
        <v>9.39</v>
      </c>
      <c r="D9" s="4">
        <f t="shared" si="0"/>
        <v>88.172100000000015</v>
      </c>
      <c r="E9" s="4">
        <v>2.1127500000000001</v>
      </c>
      <c r="F9" s="1">
        <v>86</v>
      </c>
      <c r="G9" s="4">
        <f t="shared" si="1"/>
        <v>625.84350000000006</v>
      </c>
      <c r="J9" s="5"/>
      <c r="K9" s="5"/>
      <c r="L9" s="5"/>
      <c r="M9" s="5"/>
    </row>
    <row r="10" spans="2:13" x14ac:dyDescent="0.25">
      <c r="B10" s="3">
        <v>45139</v>
      </c>
      <c r="C10" s="4">
        <v>9.39</v>
      </c>
      <c r="D10" s="4">
        <f t="shared" si="0"/>
        <v>88.172100000000015</v>
      </c>
      <c r="E10" s="4">
        <v>2.1127500000000001</v>
      </c>
      <c r="F10" s="1">
        <v>103</v>
      </c>
      <c r="G10" s="4">
        <f t="shared" si="1"/>
        <v>749.55675000000008</v>
      </c>
      <c r="J10" s="11"/>
      <c r="K10" s="12" t="s">
        <v>5</v>
      </c>
      <c r="L10" s="12" t="s">
        <v>1</v>
      </c>
      <c r="M10" s="12" t="s">
        <v>7</v>
      </c>
    </row>
    <row r="11" spans="2:13" x14ac:dyDescent="0.25">
      <c r="B11" s="3">
        <v>45170</v>
      </c>
      <c r="C11" s="4">
        <v>9.61</v>
      </c>
      <c r="D11" s="4">
        <f t="shared" si="0"/>
        <v>92.352099999999993</v>
      </c>
      <c r="E11" s="4">
        <v>2.1622499999999998</v>
      </c>
      <c r="F11" s="1">
        <v>97</v>
      </c>
      <c r="G11" s="4">
        <f t="shared" si="1"/>
        <v>722.43174999999997</v>
      </c>
      <c r="J11" s="11" t="s">
        <v>22</v>
      </c>
      <c r="K11" s="7">
        <v>-7318.2296092030856</v>
      </c>
      <c r="L11" s="13">
        <v>1475.3529634479414</v>
      </c>
      <c r="M11" s="13">
        <v>-72.949310159852359</v>
      </c>
    </row>
    <row r="12" spans="2:13" x14ac:dyDescent="0.25">
      <c r="B12" s="3">
        <v>45200</v>
      </c>
      <c r="C12" s="4">
        <v>10.050000000000001</v>
      </c>
      <c r="D12" s="4">
        <f t="shared" si="0"/>
        <v>101.00250000000001</v>
      </c>
      <c r="E12" s="4">
        <v>2.26125</v>
      </c>
      <c r="F12" s="1">
        <v>126</v>
      </c>
      <c r="G12" s="4">
        <f t="shared" si="1"/>
        <v>981.38250000000005</v>
      </c>
      <c r="J12" s="11" t="s">
        <v>14</v>
      </c>
      <c r="K12" s="7">
        <v>17792.476773049704</v>
      </c>
      <c r="L12" s="16">
        <v>3554.2602920178692</v>
      </c>
      <c r="M12" s="16">
        <v>177.38956516373491</v>
      </c>
    </row>
    <row r="13" spans="2:13" x14ac:dyDescent="0.25">
      <c r="B13" s="3">
        <v>45231</v>
      </c>
      <c r="C13" s="4">
        <v>9.8800000000000008</v>
      </c>
      <c r="D13" s="4">
        <f t="shared" si="0"/>
        <v>97.614400000000018</v>
      </c>
      <c r="E13" s="4">
        <v>2.2229999999999999</v>
      </c>
      <c r="F13" s="1">
        <v>129</v>
      </c>
      <c r="G13" s="4">
        <f t="shared" si="1"/>
        <v>987.75300000000016</v>
      </c>
      <c r="J13" s="11" t="s">
        <v>23</v>
      </c>
      <c r="K13" s="7">
        <v>1.1871282132894525E-3</v>
      </c>
      <c r="L13" s="13">
        <v>1.1748668014367046E-3</v>
      </c>
      <c r="M13" s="13">
        <v>1.3958782827185692E-3</v>
      </c>
    </row>
    <row r="14" spans="2:13" x14ac:dyDescent="0.25">
      <c r="B14" s="3">
        <v>45261</v>
      </c>
      <c r="C14" s="4">
        <v>10.18</v>
      </c>
      <c r="D14" s="4">
        <f t="shared" si="0"/>
        <v>103.63239999999999</v>
      </c>
      <c r="E14" s="4">
        <v>2.2904999999999998</v>
      </c>
      <c r="F14" s="1">
        <v>108</v>
      </c>
      <c r="G14" s="4">
        <f t="shared" si="1"/>
        <v>852.06600000000003</v>
      </c>
      <c r="J14" s="5"/>
      <c r="K14" s="5"/>
      <c r="L14" s="14" t="s">
        <v>25</v>
      </c>
      <c r="M14" s="14"/>
    </row>
    <row r="15" spans="2:13" x14ac:dyDescent="0.25">
      <c r="B15" s="3">
        <v>45292</v>
      </c>
      <c r="C15" s="4">
        <v>9.74</v>
      </c>
      <c r="D15" s="4">
        <f t="shared" si="0"/>
        <v>94.86760000000001</v>
      </c>
      <c r="E15" s="4">
        <v>2.1915</v>
      </c>
      <c r="F15" s="1">
        <v>119</v>
      </c>
      <c r="G15" s="4">
        <f t="shared" si="1"/>
        <v>898.27150000000006</v>
      </c>
      <c r="J15" s="10" t="s">
        <v>16</v>
      </c>
      <c r="K15" s="9"/>
      <c r="L15" s="5"/>
      <c r="M15" s="5"/>
    </row>
    <row r="16" spans="2:13" x14ac:dyDescent="0.25">
      <c r="B16" s="3">
        <v>45323</v>
      </c>
      <c r="C16" s="4">
        <v>9.5500000000000007</v>
      </c>
      <c r="D16" s="4">
        <f t="shared" si="0"/>
        <v>91.202500000000015</v>
      </c>
      <c r="E16" s="4">
        <v>2.1487500000000002</v>
      </c>
      <c r="F16" s="1">
        <v>110</v>
      </c>
      <c r="G16" s="4">
        <f t="shared" si="1"/>
        <v>814.13750000000016</v>
      </c>
      <c r="J16" s="11" t="s">
        <v>17</v>
      </c>
      <c r="K16" s="7">
        <v>2</v>
      </c>
      <c r="L16" s="5"/>
      <c r="M16" s="5"/>
    </row>
    <row r="17" spans="2:13" x14ac:dyDescent="0.25">
      <c r="B17" s="3">
        <v>45352</v>
      </c>
      <c r="C17" s="4">
        <v>9.44</v>
      </c>
      <c r="D17" s="4">
        <f t="shared" si="0"/>
        <v>89.113599999999991</v>
      </c>
      <c r="E17" s="4">
        <v>2.1239999999999997</v>
      </c>
      <c r="F17" s="1">
        <v>116</v>
      </c>
      <c r="G17" s="4">
        <f t="shared" si="1"/>
        <v>848.65599999999995</v>
      </c>
      <c r="J17" s="11" t="s">
        <v>18</v>
      </c>
      <c r="K17" s="7">
        <v>821753.3426269067</v>
      </c>
      <c r="L17" s="5"/>
      <c r="M17" s="5"/>
    </row>
    <row r="18" spans="2:13" x14ac:dyDescent="0.25">
      <c r="B18" s="3">
        <v>45383</v>
      </c>
      <c r="C18" s="4">
        <v>10.35</v>
      </c>
      <c r="D18" s="4">
        <f t="shared" si="0"/>
        <v>107.12249999999999</v>
      </c>
      <c r="E18" s="4">
        <v>2.3287499999999999</v>
      </c>
      <c r="F18" s="1">
        <v>130</v>
      </c>
      <c r="G18" s="4">
        <f t="shared" si="1"/>
        <v>1042.7625</v>
      </c>
      <c r="J18" s="11" t="s">
        <v>19</v>
      </c>
      <c r="K18" s="7">
        <v>410876.67131345335</v>
      </c>
      <c r="L18" s="5"/>
      <c r="M18" s="5"/>
    </row>
    <row r="19" spans="2:13" x14ac:dyDescent="0.25">
      <c r="B19" s="3">
        <v>45413</v>
      </c>
      <c r="C19" s="4">
        <v>9.7799999999999994</v>
      </c>
      <c r="D19" s="4">
        <f t="shared" si="0"/>
        <v>95.648399999999981</v>
      </c>
      <c r="E19" s="4">
        <v>2.2004999999999999</v>
      </c>
      <c r="F19" s="1">
        <v>125</v>
      </c>
      <c r="G19" s="4">
        <f t="shared" si="1"/>
        <v>947.43749999999989</v>
      </c>
      <c r="J19" s="11" t="s">
        <v>20</v>
      </c>
      <c r="K19" s="7">
        <v>7.9303392242857793</v>
      </c>
      <c r="L19" s="5"/>
      <c r="M19" s="5"/>
    </row>
    <row r="20" spans="2:13" x14ac:dyDescent="0.25">
      <c r="B20" s="3">
        <v>45444</v>
      </c>
      <c r="C20" s="4">
        <v>10.050000000000001</v>
      </c>
      <c r="D20" s="4">
        <f t="shared" si="0"/>
        <v>101.00250000000001</v>
      </c>
      <c r="E20" s="4">
        <v>2.26125</v>
      </c>
      <c r="F20" s="1">
        <v>169</v>
      </c>
      <c r="G20" s="4">
        <f t="shared" si="1"/>
        <v>1316.2987500000002</v>
      </c>
      <c r="J20" s="11" t="s">
        <v>21</v>
      </c>
      <c r="K20" s="7">
        <v>1.3234994420637115E-3</v>
      </c>
      <c r="L20" s="5"/>
      <c r="M20" s="5"/>
    </row>
    <row r="21" spans="2:13" x14ac:dyDescent="0.25">
      <c r="B21" s="3">
        <v>45474</v>
      </c>
      <c r="C21" s="4">
        <v>9.6300000000000008</v>
      </c>
      <c r="D21" s="4">
        <f t="shared" si="0"/>
        <v>92.73690000000002</v>
      </c>
      <c r="E21" s="4">
        <v>2.1667500000000004</v>
      </c>
      <c r="F21" s="1">
        <v>118</v>
      </c>
      <c r="G21" s="4">
        <f t="shared" si="1"/>
        <v>880.6635</v>
      </c>
    </row>
    <row r="22" spans="2:13" x14ac:dyDescent="0.25">
      <c r="B22" s="3">
        <v>45505</v>
      </c>
      <c r="C22" s="4">
        <v>9.68</v>
      </c>
      <c r="D22" s="4">
        <f t="shared" si="0"/>
        <v>93.702399999999997</v>
      </c>
      <c r="E22" s="4">
        <v>2.1779999999999999</v>
      </c>
      <c r="F22" s="1">
        <v>144</v>
      </c>
      <c r="G22" s="4">
        <f t="shared" si="1"/>
        <v>1080.288</v>
      </c>
      <c r="J22" s="10" t="s">
        <v>26</v>
      </c>
    </row>
    <row r="23" spans="2:13" x14ac:dyDescent="0.25">
      <c r="B23" s="3">
        <v>45536</v>
      </c>
      <c r="C23" s="4">
        <v>9.82</v>
      </c>
      <c r="D23" s="4">
        <f t="shared" si="0"/>
        <v>96.432400000000001</v>
      </c>
      <c r="E23" s="4">
        <v>2.2095000000000002</v>
      </c>
      <c r="F23" s="1">
        <v>136</v>
      </c>
      <c r="G23" s="4">
        <f t="shared" si="1"/>
        <v>1035.028</v>
      </c>
      <c r="J23" s="15" t="s">
        <v>7</v>
      </c>
      <c r="K23" s="15" t="s">
        <v>24</v>
      </c>
      <c r="L23" s="15" t="s">
        <v>5</v>
      </c>
    </row>
    <row r="24" spans="2:13" x14ac:dyDescent="0.25">
      <c r="B24" s="3">
        <v>45566</v>
      </c>
      <c r="C24" s="4">
        <v>9.98</v>
      </c>
      <c r="D24" s="4">
        <f t="shared" si="0"/>
        <v>99.600400000000008</v>
      </c>
      <c r="E24" s="4">
        <v>2.2455000000000003</v>
      </c>
      <c r="F24" s="1">
        <v>126</v>
      </c>
      <c r="G24" s="4">
        <f t="shared" si="1"/>
        <v>974.54700000000003</v>
      </c>
      <c r="J24" s="7" cm="1">
        <f t="array" ref="J24:L24">LINEST(F3:F43,C3:D43,TRUE,FALSE)</f>
        <v>-72.949310159852359</v>
      </c>
      <c r="K24" s="7">
        <v>1475.3529634479414</v>
      </c>
      <c r="L24" s="7">
        <v>-7318.2296092030856</v>
      </c>
    </row>
    <row r="25" spans="2:13" x14ac:dyDescent="0.25">
      <c r="B25" s="3">
        <v>45597</v>
      </c>
      <c r="C25" s="4">
        <v>9.66</v>
      </c>
      <c r="D25" s="4">
        <f t="shared" si="0"/>
        <v>93.315600000000003</v>
      </c>
      <c r="E25" s="4">
        <v>2.1735000000000002</v>
      </c>
      <c r="F25" s="1">
        <v>118</v>
      </c>
      <c r="G25" s="4">
        <f t="shared" si="1"/>
        <v>883.40699999999993</v>
      </c>
    </row>
    <row r="26" spans="2:13" x14ac:dyDescent="0.25">
      <c r="B26" s="3">
        <v>45627</v>
      </c>
      <c r="C26" s="4">
        <v>9.67</v>
      </c>
      <c r="D26" s="4">
        <f t="shared" si="0"/>
        <v>93.508899999999997</v>
      </c>
      <c r="E26" s="4">
        <v>2.1757499999999999</v>
      </c>
      <c r="F26" s="1">
        <v>162</v>
      </c>
      <c r="G26" s="4">
        <f t="shared" si="1"/>
        <v>1214.0685000000001</v>
      </c>
      <c r="J26" s="9" t="s">
        <v>27</v>
      </c>
      <c r="K26" s="5"/>
      <c r="L26" s="5"/>
      <c r="M26" s="5"/>
    </row>
    <row r="27" spans="2:13" x14ac:dyDescent="0.25">
      <c r="B27" s="3">
        <v>45658</v>
      </c>
      <c r="C27" s="4">
        <v>9.67</v>
      </c>
      <c r="D27" s="4">
        <f t="shared" si="0"/>
        <v>93.508899999999997</v>
      </c>
      <c r="E27" s="4">
        <v>2.1757499999999999</v>
      </c>
      <c r="F27" s="1">
        <v>172</v>
      </c>
      <c r="G27" s="4">
        <f t="shared" si="1"/>
        <v>1289.011</v>
      </c>
      <c r="J27" s="12" t="s">
        <v>6</v>
      </c>
      <c r="K27" s="12" t="s">
        <v>8</v>
      </c>
      <c r="L27" s="12" t="s">
        <v>4</v>
      </c>
      <c r="M27" s="5"/>
    </row>
    <row r="28" spans="2:13" x14ac:dyDescent="0.25">
      <c r="B28" s="3">
        <v>45689</v>
      </c>
      <c r="C28" s="4">
        <v>9.99</v>
      </c>
      <c r="D28" s="4">
        <f t="shared" si="0"/>
        <v>99.8001</v>
      </c>
      <c r="E28" s="4">
        <v>2.2477499999999999</v>
      </c>
      <c r="F28" s="1">
        <v>141</v>
      </c>
      <c r="G28" s="4">
        <f t="shared" si="1"/>
        <v>1091.65725</v>
      </c>
      <c r="J28" s="13">
        <v>10.206513739940197</v>
      </c>
      <c r="K28" s="7">
        <f>J24*(J28*J28)+(K24*J28)+L24</f>
        <v>140.63783346846139</v>
      </c>
      <c r="L28" s="17">
        <f>(J28*K28)-(1.5+(J28*0.15))</f>
        <v>1432.3910025902815</v>
      </c>
      <c r="M28" s="5"/>
    </row>
    <row r="29" spans="2:13" x14ac:dyDescent="0.25">
      <c r="B29" s="3">
        <v>45717</v>
      </c>
      <c r="C29" s="4">
        <v>9.77</v>
      </c>
      <c r="D29" s="4">
        <f t="shared" si="0"/>
        <v>95.452899999999985</v>
      </c>
      <c r="E29" s="4">
        <v>2.1982499999999998</v>
      </c>
      <c r="F29" s="1">
        <v>134</v>
      </c>
      <c r="G29" s="4">
        <f t="shared" si="1"/>
        <v>1014.6145</v>
      </c>
    </row>
    <row r="30" spans="2:13" x14ac:dyDescent="0.25">
      <c r="B30" s="3">
        <v>45748</v>
      </c>
      <c r="C30" s="4">
        <v>9.7899999999999991</v>
      </c>
      <c r="D30" s="4">
        <f t="shared" si="0"/>
        <v>95.844099999999983</v>
      </c>
      <c r="E30" s="4">
        <v>2.20275</v>
      </c>
      <c r="F30" s="1">
        <v>148</v>
      </c>
      <c r="G30" s="4">
        <f t="shared" si="1"/>
        <v>1122.9129999999998</v>
      </c>
    </row>
    <row r="31" spans="2:13" x14ac:dyDescent="0.25">
      <c r="B31" s="3">
        <v>45778</v>
      </c>
      <c r="C31" s="4">
        <v>9.8800000000000008</v>
      </c>
      <c r="D31" s="4">
        <f t="shared" si="0"/>
        <v>97.614400000000018</v>
      </c>
      <c r="E31" s="4">
        <v>2.2229999999999999</v>
      </c>
      <c r="F31" s="1">
        <v>136</v>
      </c>
      <c r="G31" s="4">
        <f t="shared" si="1"/>
        <v>1041.3520000000001</v>
      </c>
    </row>
    <row r="32" spans="2:13" x14ac:dyDescent="0.25">
      <c r="B32" s="3">
        <v>45809</v>
      </c>
      <c r="C32" s="4">
        <v>10.26</v>
      </c>
      <c r="D32" s="4">
        <f t="shared" si="0"/>
        <v>105.2676</v>
      </c>
      <c r="E32" s="4">
        <v>2.3085</v>
      </c>
      <c r="F32" s="1">
        <v>148</v>
      </c>
      <c r="G32" s="4">
        <f t="shared" si="1"/>
        <v>1176.8219999999999</v>
      </c>
    </row>
    <row r="33" spans="2:7" x14ac:dyDescent="0.25">
      <c r="B33" s="3">
        <v>45839</v>
      </c>
      <c r="C33" s="4">
        <v>9.5500000000000007</v>
      </c>
      <c r="D33" s="4">
        <f t="shared" si="0"/>
        <v>91.202500000000015</v>
      </c>
      <c r="E33" s="4">
        <v>2.1487500000000002</v>
      </c>
      <c r="F33" s="1">
        <v>152</v>
      </c>
      <c r="G33" s="4">
        <f t="shared" si="1"/>
        <v>1124.9900000000002</v>
      </c>
    </row>
    <row r="34" spans="2:7" x14ac:dyDescent="0.25">
      <c r="B34" s="3">
        <v>45870</v>
      </c>
      <c r="C34" s="4">
        <v>9.85</v>
      </c>
      <c r="D34" s="4">
        <f t="shared" si="0"/>
        <v>97.022499999999994</v>
      </c>
      <c r="E34" s="4">
        <v>2.2162499999999996</v>
      </c>
      <c r="F34" s="1">
        <v>157</v>
      </c>
      <c r="G34" s="4">
        <f t="shared" si="1"/>
        <v>1198.49875</v>
      </c>
    </row>
    <row r="35" spans="2:7" x14ac:dyDescent="0.25">
      <c r="B35" s="3">
        <v>45901</v>
      </c>
      <c r="C35" s="4">
        <v>9.61</v>
      </c>
      <c r="D35" s="4">
        <f t="shared" si="0"/>
        <v>92.352099999999993</v>
      </c>
      <c r="E35" s="4">
        <v>2.1622499999999998</v>
      </c>
      <c r="F35" s="1">
        <v>163</v>
      </c>
      <c r="G35" s="4">
        <f t="shared" si="1"/>
        <v>1213.9832499999998</v>
      </c>
    </row>
    <row r="36" spans="2:7" x14ac:dyDescent="0.25">
      <c r="B36" s="3">
        <v>45931</v>
      </c>
      <c r="C36" s="4">
        <v>9.7200000000000006</v>
      </c>
      <c r="D36" s="4">
        <f t="shared" si="0"/>
        <v>94.478400000000008</v>
      </c>
      <c r="E36" s="4">
        <v>2.1869999999999998</v>
      </c>
      <c r="F36" s="1">
        <v>164</v>
      </c>
      <c r="G36" s="4">
        <f t="shared" si="1"/>
        <v>1235.4120000000003</v>
      </c>
    </row>
    <row r="37" spans="2:7" x14ac:dyDescent="0.25">
      <c r="B37" s="3">
        <v>45962</v>
      </c>
      <c r="C37" s="4">
        <v>9.76</v>
      </c>
      <c r="D37" s="4">
        <f t="shared" si="0"/>
        <v>95.257599999999996</v>
      </c>
      <c r="E37" s="4">
        <v>2.1959999999999997</v>
      </c>
      <c r="F37" s="1">
        <v>164</v>
      </c>
      <c r="G37" s="4">
        <f t="shared" si="1"/>
        <v>1240.4960000000001</v>
      </c>
    </row>
    <row r="38" spans="2:7" x14ac:dyDescent="0.25">
      <c r="B38" s="3">
        <v>45992</v>
      </c>
      <c r="C38" s="4">
        <v>9.66</v>
      </c>
      <c r="D38" s="4">
        <f t="shared" si="0"/>
        <v>93.315600000000003</v>
      </c>
      <c r="E38" s="4">
        <v>2.1735000000000002</v>
      </c>
      <c r="F38" s="1">
        <v>151</v>
      </c>
      <c r="G38" s="4">
        <f t="shared" si="1"/>
        <v>1130.4614999999999</v>
      </c>
    </row>
    <row r="39" spans="2:7" x14ac:dyDescent="0.25">
      <c r="B39" s="3">
        <v>46023</v>
      </c>
      <c r="C39" s="4">
        <v>9.83</v>
      </c>
      <c r="D39" s="4">
        <f t="shared" si="0"/>
        <v>96.628900000000002</v>
      </c>
      <c r="E39" s="4">
        <v>2.2117499999999999</v>
      </c>
      <c r="F39" s="1">
        <v>135</v>
      </c>
      <c r="G39" s="4">
        <f t="shared" si="1"/>
        <v>1028.4637499999999</v>
      </c>
    </row>
    <row r="40" spans="2:7" x14ac:dyDescent="0.25">
      <c r="B40" s="3">
        <v>46054</v>
      </c>
      <c r="C40" s="4">
        <v>9.91</v>
      </c>
      <c r="D40" s="4">
        <f t="shared" si="0"/>
        <v>98.208100000000002</v>
      </c>
      <c r="E40" s="4">
        <v>2.2297500000000001</v>
      </c>
      <c r="F40" s="1">
        <v>167</v>
      </c>
      <c r="G40" s="4">
        <f t="shared" si="1"/>
        <v>1282.60175</v>
      </c>
    </row>
    <row r="41" spans="2:7" x14ac:dyDescent="0.25">
      <c r="B41" s="3">
        <v>46082</v>
      </c>
      <c r="C41" s="4">
        <v>11.04</v>
      </c>
      <c r="D41" s="4">
        <f t="shared" si="0"/>
        <v>121.88159999999998</v>
      </c>
      <c r="E41" s="4">
        <v>2.484</v>
      </c>
      <c r="F41" s="1">
        <v>90</v>
      </c>
      <c r="G41" s="4">
        <f t="shared" si="1"/>
        <v>770.04</v>
      </c>
    </row>
    <row r="42" spans="2:7" x14ac:dyDescent="0.25">
      <c r="B42" s="3">
        <v>46113</v>
      </c>
      <c r="C42" s="4">
        <v>10.15</v>
      </c>
      <c r="D42" s="4">
        <f t="shared" si="0"/>
        <v>103.02250000000001</v>
      </c>
      <c r="E42" s="4">
        <v>2.2837499999999999</v>
      </c>
      <c r="F42" s="1">
        <v>120</v>
      </c>
      <c r="G42" s="4">
        <f t="shared" si="1"/>
        <v>943.95</v>
      </c>
    </row>
    <row r="43" spans="2:7" x14ac:dyDescent="0.25">
      <c r="B43" s="3">
        <v>46143</v>
      </c>
      <c r="C43" s="4">
        <v>9.61</v>
      </c>
      <c r="D43" s="4">
        <f t="shared" si="0"/>
        <v>92.352099999999993</v>
      </c>
      <c r="E43" s="4">
        <v>2.1622499999999998</v>
      </c>
      <c r="F43" s="1">
        <v>161</v>
      </c>
      <c r="G43" s="4">
        <f t="shared" si="1"/>
        <v>1199.0877499999999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| WBJ</dc:creator>
  <cp:lastModifiedBy>Joel | WBJ</cp:lastModifiedBy>
  <dcterms:created xsi:type="dcterms:W3CDTF">2026-02-12T11:54:49Z</dcterms:created>
  <dcterms:modified xsi:type="dcterms:W3CDTF">2026-07-09T11:26:07Z</dcterms:modified>
</cp:coreProperties>
</file>